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imiento" sheetId="1" state="visible" r:id="rId1"/>
    <sheet xmlns:r="http://schemas.openxmlformats.org/officeDocument/2006/relationships" name="Resumen equipo" sheetId="2" state="visible" r:id="rId2"/>
    <sheet xmlns:r="http://schemas.openxmlformats.org/officeDocument/2006/relationships" name="Por jorna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;[Red]-&quot;$&quot;#,##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1E6B3E"/>
      <sz val="12"/>
    </font>
    <font>
      <i val="1"/>
      <color rgb="008894A6"/>
      <sz val="9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0D2438"/>
      </patternFill>
    </fill>
    <fill>
      <patternFill patternType="solid">
        <fgColor rgb="00EAF0F6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164" fontId="0" fillId="0" borderId="1" pivotButton="0" quotePrefix="0" xfId="0"/>
    <xf numFmtId="165" fontId="0" fillId="0" borderId="1" pivotButton="0" quotePrefix="0" xfId="0"/>
    <xf numFmtId="165" fontId="0" fillId="0" borderId="1" applyAlignment="1" pivotButton="0" quotePrefix="0" xfId="0">
      <alignment horizontal="center" vertical="center"/>
    </xf>
    <xf numFmtId="0" fontId="6" fillId="3" borderId="1" pivotButton="0" quotePrefix="0" xfId="0"/>
    <xf numFmtId="165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3" customWidth="1" min="3" max="3"/>
    <col width="12" customWidth="1" min="4" max="4"/>
    <col width="6" customWidth="1" min="5" max="5"/>
    <col width="7" customWidth="1" min="6" max="6"/>
    <col width="10" customWidth="1" min="7" max="7"/>
    <col width="18" customWidth="1" min="8" max="8"/>
    <col width="9" customWidth="1" min="9" max="9"/>
    <col width="11" customWidth="1" min="10" max="10"/>
    <col width="11" customWidth="1" min="11" max="11"/>
    <col width="12" customWidth="1" min="12" max="12"/>
  </cols>
  <sheetData>
    <row r="1" ht="26" customHeight="1">
      <c r="A1" s="1" t="inlineStr">
        <is>
          <t>Seguimiento — Empate por Equipo (cuenta dedicada)</t>
        </is>
      </c>
    </row>
    <row r="2">
      <c r="A2" s="2" t="inlineStr">
        <is>
          <t>Saldo inicial de la cuenta:</t>
        </is>
      </c>
      <c r="C2" s="3" t="n">
        <v>20050</v>
      </c>
      <c r="E2" s="4">
        <f> $10,000 banca + $10,050 utilidad acumulada</f>
        <v/>
      </c>
    </row>
    <row r="3">
      <c r="A3" s="4" t="inlineStr">
        <is>
          <t>Llena por jornada: monto de la apuesta, si empató (S/N/Omit) y el momio. El ingreso, el neto y el saldo se calculan solos.</t>
        </is>
      </c>
    </row>
    <row r="5" ht="30" customHeight="1">
      <c r="A5" s="5" t="inlineStr">
        <is>
          <t>Fecha</t>
        </is>
      </c>
      <c r="B5" s="5" t="inlineStr">
        <is>
          <t>Jornada</t>
        </is>
      </c>
      <c r="C5" s="6" t="inlineStr">
        <is>
          <t>Equipo</t>
        </is>
      </c>
      <c r="D5" s="6" t="inlineStr">
        <is>
          <t>Rival</t>
        </is>
      </c>
      <c r="E5" s="5" t="inlineStr">
        <is>
          <t>L/V</t>
        </is>
      </c>
      <c r="F5" s="5" t="inlineStr">
        <is>
          <t>Paso</t>
        </is>
      </c>
      <c r="G5" s="5" t="inlineStr">
        <is>
          <t>Apuesta</t>
        </is>
      </c>
      <c r="H5" s="5" t="inlineStr">
        <is>
          <t>¿Empató? (S/N/Omit)</t>
        </is>
      </c>
      <c r="I5" s="5" t="inlineStr">
        <is>
          <t>Momio</t>
        </is>
      </c>
      <c r="J5" s="5" t="inlineStr">
        <is>
          <t>Ingreso</t>
        </is>
      </c>
      <c r="K5" s="5" t="inlineStr">
        <is>
          <t>Neto</t>
        </is>
      </c>
      <c r="L5" s="5" t="inlineStr">
        <is>
          <t>Saldo</t>
        </is>
      </c>
    </row>
    <row r="6">
      <c r="A6" s="7" t="inlineStr">
        <is>
          <t>9-12 oct</t>
        </is>
      </c>
      <c r="B6" s="7" t="inlineStr">
        <is>
          <t>J8</t>
        </is>
      </c>
      <c r="C6" s="8" t="inlineStr">
        <is>
          <t>Real Betis</t>
        </is>
      </c>
      <c r="D6" s="8" t="inlineStr">
        <is>
          <t>Osasuna</t>
        </is>
      </c>
      <c r="E6" s="7" t="inlineStr">
        <is>
          <t>L</t>
        </is>
      </c>
      <c r="F6" s="7" t="n">
        <v>1</v>
      </c>
      <c r="G6" s="9" t="n">
        <v>100</v>
      </c>
      <c r="H6" s="7" t="inlineStr"/>
      <c r="I6" s="7" t="inlineStr"/>
      <c r="J6" s="10">
        <f>IF($H6="S",$G6*$I6,0)</f>
        <v/>
      </c>
      <c r="K6" s="11">
        <f>IF(OR($H6="",$H6="Omit"),0,IF($H6="S",$G6*$I6-$G6,-$G6))</f>
        <v/>
      </c>
      <c r="L6" s="10">
        <f>$C$2+$K6</f>
        <v/>
      </c>
    </row>
    <row r="7">
      <c r="A7" s="7" t="inlineStr">
        <is>
          <t>9-12 oct</t>
        </is>
      </c>
      <c r="B7" s="7" t="inlineStr">
        <is>
          <t>J8</t>
        </is>
      </c>
      <c r="C7" s="8" t="inlineStr">
        <is>
          <t>Rayo</t>
        </is>
      </c>
      <c r="D7" s="8" t="inlineStr">
        <is>
          <t>Athletic</t>
        </is>
      </c>
      <c r="E7" s="7" t="inlineStr">
        <is>
          <t>L</t>
        </is>
      </c>
      <c r="F7" s="7" t="n">
        <v>1</v>
      </c>
      <c r="G7" s="9" t="n">
        <v>100</v>
      </c>
      <c r="H7" s="7" t="inlineStr"/>
      <c r="I7" s="7" t="inlineStr"/>
      <c r="J7" s="10">
        <f>IF($H7="S",$G7*$I7,0)</f>
        <v/>
      </c>
      <c r="K7" s="11">
        <f>IF(OR($H7="",$H7="Omit"),0,IF($H7="S",$G7*$I7-$G7,-$G7))</f>
        <v/>
      </c>
      <c r="L7" s="10">
        <f>$L6+$K7</f>
        <v/>
      </c>
    </row>
    <row r="8">
      <c r="A8" s="7" t="inlineStr">
        <is>
          <t>9-12 oct</t>
        </is>
      </c>
      <c r="B8" s="7" t="inlineStr">
        <is>
          <t>J8</t>
        </is>
      </c>
      <c r="C8" s="8" t="inlineStr">
        <is>
          <t>Alavés</t>
        </is>
      </c>
      <c r="D8" s="8" t="inlineStr">
        <is>
          <t>Atlético</t>
        </is>
      </c>
      <c r="E8" s="7" t="inlineStr">
        <is>
          <t>L</t>
        </is>
      </c>
      <c r="F8" s="7" t="n">
        <v>1</v>
      </c>
      <c r="G8" s="9" t="n">
        <v>100</v>
      </c>
      <c r="H8" s="7" t="inlineStr"/>
      <c r="I8" s="7" t="inlineStr"/>
      <c r="J8" s="10">
        <f>IF($H8="S",$G8*$I8,0)</f>
        <v/>
      </c>
      <c r="K8" s="11">
        <f>IF(OR($H8="",$H8="Omit"),0,IF($H8="S",$G8*$I8-$G8,-$G8))</f>
        <v/>
      </c>
      <c r="L8" s="10">
        <f>$L7+$K8</f>
        <v/>
      </c>
    </row>
    <row r="9">
      <c r="A9" s="7" t="inlineStr">
        <is>
          <t>9-12 oct</t>
        </is>
      </c>
      <c r="B9" s="7" t="inlineStr">
        <is>
          <t>J8</t>
        </is>
      </c>
      <c r="C9" s="8" t="inlineStr">
        <is>
          <t>Sevilla</t>
        </is>
      </c>
      <c r="D9" s="8" t="inlineStr">
        <is>
          <t>Levante</t>
        </is>
      </c>
      <c r="E9" s="7" t="inlineStr">
        <is>
          <t>V</t>
        </is>
      </c>
      <c r="F9" s="7" t="n">
        <v>3</v>
      </c>
      <c r="G9" s="9" t="n">
        <v>400</v>
      </c>
      <c r="H9" s="7" t="inlineStr"/>
      <c r="I9" s="7" t="inlineStr"/>
      <c r="J9" s="10">
        <f>IF($H9="S",$G9*$I9,0)</f>
        <v/>
      </c>
      <c r="K9" s="11">
        <f>IF(OR($H9="",$H9="Omit"),0,IF($H9="S",$G9*$I9-$G9,-$G9))</f>
        <v/>
      </c>
      <c r="L9" s="10">
        <f>$L8+$K9</f>
        <v/>
      </c>
    </row>
    <row r="10">
      <c r="A10" s="7" t="inlineStr">
        <is>
          <t>9-12 oct</t>
        </is>
      </c>
      <c r="B10" s="7" t="inlineStr">
        <is>
          <t>J8</t>
        </is>
      </c>
      <c r="C10" s="8" t="inlineStr">
        <is>
          <t>R. Sociedad</t>
        </is>
      </c>
      <c r="D10" s="8" t="inlineStr">
        <is>
          <t>Deportivo</t>
        </is>
      </c>
      <c r="E10" s="7" t="inlineStr">
        <is>
          <t>L</t>
        </is>
      </c>
      <c r="F10" s="7" t="n">
        <v>4</v>
      </c>
      <c r="G10" s="9" t="n">
        <v>800</v>
      </c>
      <c r="H10" s="7" t="inlineStr"/>
      <c r="I10" s="7" t="inlineStr"/>
      <c r="J10" s="10">
        <f>IF($H10="S",$G10*$I10,0)</f>
        <v/>
      </c>
      <c r="K10" s="11">
        <f>IF(OR($H10="",$H10="Omit"),0,IF($H10="S",$G10*$I10-$G10,-$G10))</f>
        <v/>
      </c>
      <c r="L10" s="10">
        <f>$L9+$K10</f>
        <v/>
      </c>
    </row>
    <row r="11">
      <c r="A11" s="7" t="n"/>
      <c r="B11" s="7" t="n"/>
      <c r="C11" s="8" t="n"/>
      <c r="D11" s="8" t="n"/>
      <c r="E11" s="7" t="n"/>
      <c r="F11" s="7" t="n"/>
      <c r="G11" s="9" t="n"/>
      <c r="H11" s="7" t="n"/>
      <c r="I11" s="7" t="n"/>
      <c r="J11" s="10">
        <f>IF($H11="S",$G11*$I11,0)</f>
        <v/>
      </c>
      <c r="K11" s="11">
        <f>IF(OR($H11="",$H11="Omit"),0,IF($H11="S",$G11*$I11-$G11,-$G11))</f>
        <v/>
      </c>
      <c r="L11" s="10">
        <f>$L10+$K11</f>
        <v/>
      </c>
    </row>
    <row r="12">
      <c r="A12" s="7" t="n"/>
      <c r="B12" s="7" t="n"/>
      <c r="C12" s="8" t="n"/>
      <c r="D12" s="8" t="n"/>
      <c r="E12" s="7" t="n"/>
      <c r="F12" s="7" t="n"/>
      <c r="G12" s="9" t="n"/>
      <c r="H12" s="7" t="n"/>
      <c r="I12" s="7" t="n"/>
      <c r="J12" s="10">
        <f>IF($H12="S",$G12*$I12,0)</f>
        <v/>
      </c>
      <c r="K12" s="11">
        <f>IF(OR($H12="",$H12="Omit"),0,IF($H12="S",$G12*$I12-$G12,-$G12))</f>
        <v/>
      </c>
      <c r="L12" s="10">
        <f>$L11+$K12</f>
        <v/>
      </c>
    </row>
    <row r="13">
      <c r="A13" s="7" t="n"/>
      <c r="B13" s="7" t="n"/>
      <c r="C13" s="8" t="n"/>
      <c r="D13" s="8" t="n"/>
      <c r="E13" s="7" t="n"/>
      <c r="F13" s="7" t="n"/>
      <c r="G13" s="9" t="n"/>
      <c r="H13" s="7" t="n"/>
      <c r="I13" s="7" t="n"/>
      <c r="J13" s="10">
        <f>IF($H13="S",$G13*$I13,0)</f>
        <v/>
      </c>
      <c r="K13" s="11">
        <f>IF(OR($H13="",$H13="Omit"),0,IF($H13="S",$G13*$I13-$G13,-$G13))</f>
        <v/>
      </c>
      <c r="L13" s="10">
        <f>$L12+$K13</f>
        <v/>
      </c>
    </row>
    <row r="14">
      <c r="A14" s="7" t="n"/>
      <c r="B14" s="7" t="n"/>
      <c r="C14" s="8" t="n"/>
      <c r="D14" s="8" t="n"/>
      <c r="E14" s="7" t="n"/>
      <c r="F14" s="7" t="n"/>
      <c r="G14" s="9" t="n"/>
      <c r="H14" s="7" t="n"/>
      <c r="I14" s="7" t="n"/>
      <c r="J14" s="10">
        <f>IF($H14="S",$G14*$I14,0)</f>
        <v/>
      </c>
      <c r="K14" s="11">
        <f>IF(OR($H14="",$H14="Omit"),0,IF($H14="S",$G14*$I14-$G14,-$G14))</f>
        <v/>
      </c>
      <c r="L14" s="10">
        <f>$L13+$K14</f>
        <v/>
      </c>
    </row>
    <row r="15">
      <c r="A15" s="7" t="n"/>
      <c r="B15" s="7" t="n"/>
      <c r="C15" s="8" t="n"/>
      <c r="D15" s="8" t="n"/>
      <c r="E15" s="7" t="n"/>
      <c r="F15" s="7" t="n"/>
      <c r="G15" s="9" t="n"/>
      <c r="H15" s="7" t="n"/>
      <c r="I15" s="7" t="n"/>
      <c r="J15" s="10">
        <f>IF($H15="S",$G15*$I15,0)</f>
        <v/>
      </c>
      <c r="K15" s="11">
        <f>IF(OR($H15="",$H15="Omit"),0,IF($H15="S",$G15*$I15-$G15,-$G15))</f>
        <v/>
      </c>
      <c r="L15" s="10">
        <f>$L14+$K15</f>
        <v/>
      </c>
    </row>
    <row r="16">
      <c r="A16" s="7" t="n"/>
      <c r="B16" s="7" t="n"/>
      <c r="C16" s="8" t="n"/>
      <c r="D16" s="8" t="n"/>
      <c r="E16" s="7" t="n"/>
      <c r="F16" s="7" t="n"/>
      <c r="G16" s="9" t="n"/>
      <c r="H16" s="7" t="n"/>
      <c r="I16" s="7" t="n"/>
      <c r="J16" s="10">
        <f>IF($H16="S",$G16*$I16,0)</f>
        <v/>
      </c>
      <c r="K16" s="11">
        <f>IF(OR($H16="",$H16="Omit"),0,IF($H16="S",$G16*$I16-$G16,-$G16))</f>
        <v/>
      </c>
      <c r="L16" s="10">
        <f>$L15+$K16</f>
        <v/>
      </c>
    </row>
    <row r="17">
      <c r="A17" s="7" t="n"/>
      <c r="B17" s="7" t="n"/>
      <c r="C17" s="8" t="n"/>
      <c r="D17" s="8" t="n"/>
      <c r="E17" s="7" t="n"/>
      <c r="F17" s="7" t="n"/>
      <c r="G17" s="9" t="n"/>
      <c r="H17" s="7" t="n"/>
      <c r="I17" s="7" t="n"/>
      <c r="J17" s="10">
        <f>IF($H17="S",$G17*$I17,0)</f>
        <v/>
      </c>
      <c r="K17" s="11">
        <f>IF(OR($H17="",$H17="Omit"),0,IF($H17="S",$G17*$I17-$G17,-$G17))</f>
        <v/>
      </c>
      <c r="L17" s="10">
        <f>$L16+$K17</f>
        <v/>
      </c>
    </row>
    <row r="18">
      <c r="A18" s="7" t="n"/>
      <c r="B18" s="7" t="n"/>
      <c r="C18" s="8" t="n"/>
      <c r="D18" s="8" t="n"/>
      <c r="E18" s="7" t="n"/>
      <c r="F18" s="7" t="n"/>
      <c r="G18" s="9" t="n"/>
      <c r="H18" s="7" t="n"/>
      <c r="I18" s="7" t="n"/>
      <c r="J18" s="10">
        <f>IF($H18="S",$G18*$I18,0)</f>
        <v/>
      </c>
      <c r="K18" s="11">
        <f>IF(OR($H18="",$H18="Omit"),0,IF($H18="S",$G18*$I18-$G18,-$G18))</f>
        <v/>
      </c>
      <c r="L18" s="10">
        <f>$L17+$K18</f>
        <v/>
      </c>
    </row>
    <row r="19">
      <c r="A19" s="7" t="n"/>
      <c r="B19" s="7" t="n"/>
      <c r="C19" s="8" t="n"/>
      <c r="D19" s="8" t="n"/>
      <c r="E19" s="7" t="n"/>
      <c r="F19" s="7" t="n"/>
      <c r="G19" s="9" t="n"/>
      <c r="H19" s="7" t="n"/>
      <c r="I19" s="7" t="n"/>
      <c r="J19" s="10">
        <f>IF($H19="S",$G19*$I19,0)</f>
        <v/>
      </c>
      <c r="K19" s="11">
        <f>IF(OR($H19="",$H19="Omit"),0,IF($H19="S",$G19*$I19-$G19,-$G19))</f>
        <v/>
      </c>
      <c r="L19" s="10">
        <f>$L18+$K19</f>
        <v/>
      </c>
    </row>
    <row r="20">
      <c r="A20" s="7" t="n"/>
      <c r="B20" s="7" t="n"/>
      <c r="C20" s="8" t="n"/>
      <c r="D20" s="8" t="n"/>
      <c r="E20" s="7" t="n"/>
      <c r="F20" s="7" t="n"/>
      <c r="G20" s="9" t="n"/>
      <c r="H20" s="7" t="n"/>
      <c r="I20" s="7" t="n"/>
      <c r="J20" s="10">
        <f>IF($H20="S",$G20*$I20,0)</f>
        <v/>
      </c>
      <c r="K20" s="11">
        <f>IF(OR($H20="",$H20="Omit"),0,IF($H20="S",$G20*$I20-$G20,-$G20))</f>
        <v/>
      </c>
      <c r="L20" s="10">
        <f>$L19+$K20</f>
        <v/>
      </c>
    </row>
    <row r="21">
      <c r="A21" s="7" t="n"/>
      <c r="B21" s="7" t="n"/>
      <c r="C21" s="8" t="n"/>
      <c r="D21" s="8" t="n"/>
      <c r="E21" s="7" t="n"/>
      <c r="F21" s="7" t="n"/>
      <c r="G21" s="9" t="n"/>
      <c r="H21" s="7" t="n"/>
      <c r="I21" s="7" t="n"/>
      <c r="J21" s="10">
        <f>IF($H21="S",$G21*$I21,0)</f>
        <v/>
      </c>
      <c r="K21" s="11">
        <f>IF(OR($H21="",$H21="Omit"),0,IF($H21="S",$G21*$I21-$G21,-$G21))</f>
        <v/>
      </c>
      <c r="L21" s="10">
        <f>$L20+$K21</f>
        <v/>
      </c>
    </row>
    <row r="22">
      <c r="A22" s="7" t="n"/>
      <c r="B22" s="7" t="n"/>
      <c r="C22" s="8" t="n"/>
      <c r="D22" s="8" t="n"/>
      <c r="E22" s="7" t="n"/>
      <c r="F22" s="7" t="n"/>
      <c r="G22" s="9" t="n"/>
      <c r="H22" s="7" t="n"/>
      <c r="I22" s="7" t="n"/>
      <c r="J22" s="10">
        <f>IF($H22="S",$G22*$I22,0)</f>
        <v/>
      </c>
      <c r="K22" s="11">
        <f>IF(OR($H22="",$H22="Omit"),0,IF($H22="S",$G22*$I22-$G22,-$G22))</f>
        <v/>
      </c>
      <c r="L22" s="10">
        <f>$L21+$K22</f>
        <v/>
      </c>
    </row>
    <row r="23">
      <c r="A23" s="7" t="n"/>
      <c r="B23" s="7" t="n"/>
      <c r="C23" s="8" t="n"/>
      <c r="D23" s="8" t="n"/>
      <c r="E23" s="7" t="n"/>
      <c r="F23" s="7" t="n"/>
      <c r="G23" s="9" t="n"/>
      <c r="H23" s="7" t="n"/>
      <c r="I23" s="7" t="n"/>
      <c r="J23" s="10">
        <f>IF($H23="S",$G23*$I23,0)</f>
        <v/>
      </c>
      <c r="K23" s="11">
        <f>IF(OR($H23="",$H23="Omit"),0,IF($H23="S",$G23*$I23-$G23,-$G23))</f>
        <v/>
      </c>
      <c r="L23" s="10">
        <f>$L22+$K23</f>
        <v/>
      </c>
    </row>
    <row r="24">
      <c r="A24" s="7" t="n"/>
      <c r="B24" s="7" t="n"/>
      <c r="C24" s="8" t="n"/>
      <c r="D24" s="8" t="n"/>
      <c r="E24" s="7" t="n"/>
      <c r="F24" s="7" t="n"/>
      <c r="G24" s="9" t="n"/>
      <c r="H24" s="7" t="n"/>
      <c r="I24" s="7" t="n"/>
      <c r="J24" s="10">
        <f>IF($H24="S",$G24*$I24,0)</f>
        <v/>
      </c>
      <c r="K24" s="11">
        <f>IF(OR($H24="",$H24="Omit"),0,IF($H24="S",$G24*$I24-$G24,-$G24))</f>
        <v/>
      </c>
      <c r="L24" s="10">
        <f>$L23+$K24</f>
        <v/>
      </c>
    </row>
    <row r="25">
      <c r="A25" s="7" t="n"/>
      <c r="B25" s="7" t="n"/>
      <c r="C25" s="8" t="n"/>
      <c r="D25" s="8" t="n"/>
      <c r="E25" s="7" t="n"/>
      <c r="F25" s="7" t="n"/>
      <c r="G25" s="9" t="n"/>
      <c r="H25" s="7" t="n"/>
      <c r="I25" s="7" t="n"/>
      <c r="J25" s="10">
        <f>IF($H25="S",$G25*$I25,0)</f>
        <v/>
      </c>
      <c r="K25" s="11">
        <f>IF(OR($H25="",$H25="Omit"),0,IF($H25="S",$G25*$I25-$G25,-$G25))</f>
        <v/>
      </c>
      <c r="L25" s="10">
        <f>$L24+$K25</f>
        <v/>
      </c>
    </row>
    <row r="26">
      <c r="A26" s="7" t="n"/>
      <c r="B26" s="7" t="n"/>
      <c r="C26" s="8" t="n"/>
      <c r="D26" s="8" t="n"/>
      <c r="E26" s="7" t="n"/>
      <c r="F26" s="7" t="n"/>
      <c r="G26" s="9" t="n"/>
      <c r="H26" s="7" t="n"/>
      <c r="I26" s="7" t="n"/>
      <c r="J26" s="10">
        <f>IF($H26="S",$G26*$I26,0)</f>
        <v/>
      </c>
      <c r="K26" s="11">
        <f>IF(OR($H26="",$H26="Omit"),0,IF($H26="S",$G26*$I26-$G26,-$G26))</f>
        <v/>
      </c>
      <c r="L26" s="10">
        <f>$L25+$K26</f>
        <v/>
      </c>
    </row>
    <row r="27">
      <c r="A27" s="7" t="n"/>
      <c r="B27" s="7" t="n"/>
      <c r="C27" s="8" t="n"/>
      <c r="D27" s="8" t="n"/>
      <c r="E27" s="7" t="n"/>
      <c r="F27" s="7" t="n"/>
      <c r="G27" s="9" t="n"/>
      <c r="H27" s="7" t="n"/>
      <c r="I27" s="7" t="n"/>
      <c r="J27" s="10">
        <f>IF($H27="S",$G27*$I27,0)</f>
        <v/>
      </c>
      <c r="K27" s="11">
        <f>IF(OR($H27="",$H27="Omit"),0,IF($H27="S",$G27*$I27-$G27,-$G27))</f>
        <v/>
      </c>
      <c r="L27" s="10">
        <f>$L26+$K27</f>
        <v/>
      </c>
    </row>
    <row r="28">
      <c r="A28" s="7" t="n"/>
      <c r="B28" s="7" t="n"/>
      <c r="C28" s="8" t="n"/>
      <c r="D28" s="8" t="n"/>
      <c r="E28" s="7" t="n"/>
      <c r="F28" s="7" t="n"/>
      <c r="G28" s="9" t="n"/>
      <c r="H28" s="7" t="n"/>
      <c r="I28" s="7" t="n"/>
      <c r="J28" s="10">
        <f>IF($H28="S",$G28*$I28,0)</f>
        <v/>
      </c>
      <c r="K28" s="11">
        <f>IF(OR($H28="",$H28="Omit"),0,IF($H28="S",$G28*$I28-$G28,-$G28))</f>
        <v/>
      </c>
      <c r="L28" s="10">
        <f>$L27+$K28</f>
        <v/>
      </c>
    </row>
    <row r="29">
      <c r="A29" s="7" t="n"/>
      <c r="B29" s="7" t="n"/>
      <c r="C29" s="8" t="n"/>
      <c r="D29" s="8" t="n"/>
      <c r="E29" s="7" t="n"/>
      <c r="F29" s="7" t="n"/>
      <c r="G29" s="9" t="n"/>
      <c r="H29" s="7" t="n"/>
      <c r="I29" s="7" t="n"/>
      <c r="J29" s="10">
        <f>IF($H29="S",$G29*$I29,0)</f>
        <v/>
      </c>
      <c r="K29" s="11">
        <f>IF(OR($H29="",$H29="Omit"),0,IF($H29="S",$G29*$I29-$G29,-$G29))</f>
        <v/>
      </c>
      <c r="L29" s="10">
        <f>$L28+$K29</f>
        <v/>
      </c>
    </row>
    <row r="30">
      <c r="A30" s="7" t="n"/>
      <c r="B30" s="7" t="n"/>
      <c r="C30" s="8" t="n"/>
      <c r="D30" s="8" t="n"/>
      <c r="E30" s="7" t="n"/>
      <c r="F30" s="7" t="n"/>
      <c r="G30" s="9" t="n"/>
      <c r="H30" s="7" t="n"/>
      <c r="I30" s="7" t="n"/>
      <c r="J30" s="10">
        <f>IF($H30="S",$G30*$I30,0)</f>
        <v/>
      </c>
      <c r="K30" s="11">
        <f>IF(OR($H30="",$H30="Omit"),0,IF($H30="S",$G30*$I30-$G30,-$G30))</f>
        <v/>
      </c>
      <c r="L30" s="10">
        <f>$L29+$K30</f>
        <v/>
      </c>
    </row>
    <row r="31">
      <c r="A31" s="7" t="n"/>
      <c r="B31" s="7" t="n"/>
      <c r="C31" s="8" t="n"/>
      <c r="D31" s="8" t="n"/>
      <c r="E31" s="7" t="n"/>
      <c r="F31" s="7" t="n"/>
      <c r="G31" s="9" t="n"/>
      <c r="H31" s="7" t="n"/>
      <c r="I31" s="7" t="n"/>
      <c r="J31" s="10">
        <f>IF($H31="S",$G31*$I31,0)</f>
        <v/>
      </c>
      <c r="K31" s="11">
        <f>IF(OR($H31="",$H31="Omit"),0,IF($H31="S",$G31*$I31-$G31,-$G31))</f>
        <v/>
      </c>
      <c r="L31" s="10">
        <f>$L30+$K31</f>
        <v/>
      </c>
    </row>
    <row r="32">
      <c r="A32" s="7" t="n"/>
      <c r="B32" s="7" t="n"/>
      <c r="C32" s="8" t="n"/>
      <c r="D32" s="8" t="n"/>
      <c r="E32" s="7" t="n"/>
      <c r="F32" s="7" t="n"/>
      <c r="G32" s="9" t="n"/>
      <c r="H32" s="7" t="n"/>
      <c r="I32" s="7" t="n"/>
      <c r="J32" s="10">
        <f>IF($H32="S",$G32*$I32,0)</f>
        <v/>
      </c>
      <c r="K32" s="11">
        <f>IF(OR($H32="",$H32="Omit"),0,IF($H32="S",$G32*$I32-$G32,-$G32))</f>
        <v/>
      </c>
      <c r="L32" s="10">
        <f>$L31+$K32</f>
        <v/>
      </c>
    </row>
    <row r="33">
      <c r="A33" s="7" t="n"/>
      <c r="B33" s="7" t="n"/>
      <c r="C33" s="8" t="n"/>
      <c r="D33" s="8" t="n"/>
      <c r="E33" s="7" t="n"/>
      <c r="F33" s="7" t="n"/>
      <c r="G33" s="9" t="n"/>
      <c r="H33" s="7" t="n"/>
      <c r="I33" s="7" t="n"/>
      <c r="J33" s="10">
        <f>IF($H33="S",$G33*$I33,0)</f>
        <v/>
      </c>
      <c r="K33" s="11">
        <f>IF(OR($H33="",$H33="Omit"),0,IF($H33="S",$G33*$I33-$G33,-$G33))</f>
        <v/>
      </c>
      <c r="L33" s="10">
        <f>$L32+$K33</f>
        <v/>
      </c>
    </row>
    <row r="34">
      <c r="A34" s="7" t="n"/>
      <c r="B34" s="7" t="n"/>
      <c r="C34" s="8" t="n"/>
      <c r="D34" s="8" t="n"/>
      <c r="E34" s="7" t="n"/>
      <c r="F34" s="7" t="n"/>
      <c r="G34" s="9" t="n"/>
      <c r="H34" s="7" t="n"/>
      <c r="I34" s="7" t="n"/>
      <c r="J34" s="10">
        <f>IF($H34="S",$G34*$I34,0)</f>
        <v/>
      </c>
      <c r="K34" s="11">
        <f>IF(OR($H34="",$H34="Omit"),0,IF($H34="S",$G34*$I34-$G34,-$G34))</f>
        <v/>
      </c>
      <c r="L34" s="10">
        <f>$L33+$K34</f>
        <v/>
      </c>
    </row>
    <row r="35">
      <c r="A35" s="7" t="n"/>
      <c r="B35" s="7" t="n"/>
      <c r="C35" s="8" t="n"/>
      <c r="D35" s="8" t="n"/>
      <c r="E35" s="7" t="n"/>
      <c r="F35" s="7" t="n"/>
      <c r="G35" s="9" t="n"/>
      <c r="H35" s="7" t="n"/>
      <c r="I35" s="7" t="n"/>
      <c r="J35" s="10">
        <f>IF($H35="S",$G35*$I35,0)</f>
        <v/>
      </c>
      <c r="K35" s="11">
        <f>IF(OR($H35="",$H35="Omit"),0,IF($H35="S",$G35*$I35-$G35,-$G35))</f>
        <v/>
      </c>
      <c r="L35" s="10">
        <f>$L34+$K35</f>
        <v/>
      </c>
    </row>
    <row r="36">
      <c r="A36" s="7" t="n"/>
      <c r="B36" s="7" t="n"/>
      <c r="C36" s="8" t="n"/>
      <c r="D36" s="8" t="n"/>
      <c r="E36" s="7" t="n"/>
      <c r="F36" s="7" t="n"/>
      <c r="G36" s="9" t="n"/>
      <c r="H36" s="7" t="n"/>
      <c r="I36" s="7" t="n"/>
      <c r="J36" s="10">
        <f>IF($H36="S",$G36*$I36,0)</f>
        <v/>
      </c>
      <c r="K36" s="11">
        <f>IF(OR($H36="",$H36="Omit"),0,IF($H36="S",$G36*$I36-$G36,-$G36))</f>
        <v/>
      </c>
      <c r="L36" s="10">
        <f>$L35+$K36</f>
        <v/>
      </c>
    </row>
    <row r="37">
      <c r="A37" s="7" t="n"/>
      <c r="B37" s="7" t="n"/>
      <c r="C37" s="8" t="n"/>
      <c r="D37" s="8" t="n"/>
      <c r="E37" s="7" t="n"/>
      <c r="F37" s="7" t="n"/>
      <c r="G37" s="9" t="n"/>
      <c r="H37" s="7" t="n"/>
      <c r="I37" s="7" t="n"/>
      <c r="J37" s="10">
        <f>IF($H37="S",$G37*$I37,0)</f>
        <v/>
      </c>
      <c r="K37" s="11">
        <f>IF(OR($H37="",$H37="Omit"),0,IF($H37="S",$G37*$I37-$G37,-$G37))</f>
        <v/>
      </c>
      <c r="L37" s="10">
        <f>$L36+$K37</f>
        <v/>
      </c>
    </row>
    <row r="38">
      <c r="A38" s="7" t="n"/>
      <c r="B38" s="7" t="n"/>
      <c r="C38" s="8" t="n"/>
      <c r="D38" s="8" t="n"/>
      <c r="E38" s="7" t="n"/>
      <c r="F38" s="7" t="n"/>
      <c r="G38" s="9" t="n"/>
      <c r="H38" s="7" t="n"/>
      <c r="I38" s="7" t="n"/>
      <c r="J38" s="10">
        <f>IF($H38="S",$G38*$I38,0)</f>
        <v/>
      </c>
      <c r="K38" s="11">
        <f>IF(OR($H38="",$H38="Omit"),0,IF($H38="S",$G38*$I38-$G38,-$G38))</f>
        <v/>
      </c>
      <c r="L38" s="10">
        <f>$L37+$K38</f>
        <v/>
      </c>
    </row>
    <row r="39">
      <c r="A39" s="7" t="n"/>
      <c r="B39" s="7" t="n"/>
      <c r="C39" s="8" t="n"/>
      <c r="D39" s="8" t="n"/>
      <c r="E39" s="7" t="n"/>
      <c r="F39" s="7" t="n"/>
      <c r="G39" s="9" t="n"/>
      <c r="H39" s="7" t="n"/>
      <c r="I39" s="7" t="n"/>
      <c r="J39" s="10">
        <f>IF($H39="S",$G39*$I39,0)</f>
        <v/>
      </c>
      <c r="K39" s="11">
        <f>IF(OR($H39="",$H39="Omit"),0,IF($H39="S",$G39*$I39-$G39,-$G39))</f>
        <v/>
      </c>
      <c r="L39" s="10">
        <f>$L38+$K39</f>
        <v/>
      </c>
    </row>
    <row r="40">
      <c r="A40" s="7" t="n"/>
      <c r="B40" s="7" t="n"/>
      <c r="C40" s="8" t="n"/>
      <c r="D40" s="8" t="n"/>
      <c r="E40" s="7" t="n"/>
      <c r="F40" s="7" t="n"/>
      <c r="G40" s="9" t="n"/>
      <c r="H40" s="7" t="n"/>
      <c r="I40" s="7" t="n"/>
      <c r="J40" s="10">
        <f>IF($H40="S",$G40*$I40,0)</f>
        <v/>
      </c>
      <c r="K40" s="11">
        <f>IF(OR($H40="",$H40="Omit"),0,IF($H40="S",$G40*$I40-$G40,-$G40))</f>
        <v/>
      </c>
      <c r="L40" s="10">
        <f>$L39+$K40</f>
        <v/>
      </c>
    </row>
    <row r="41">
      <c r="A41" s="7" t="n"/>
      <c r="B41" s="7" t="n"/>
      <c r="C41" s="8" t="n"/>
      <c r="D41" s="8" t="n"/>
      <c r="E41" s="7" t="n"/>
      <c r="F41" s="7" t="n"/>
      <c r="G41" s="9" t="n"/>
      <c r="H41" s="7" t="n"/>
      <c r="I41" s="7" t="n"/>
      <c r="J41" s="10">
        <f>IF($H41="S",$G41*$I41,0)</f>
        <v/>
      </c>
      <c r="K41" s="11">
        <f>IF(OR($H41="",$H41="Omit"),0,IF($H41="S",$G41*$I41-$G41,-$G41))</f>
        <v/>
      </c>
      <c r="L41" s="10">
        <f>$L40+$K41</f>
        <v/>
      </c>
    </row>
    <row r="42">
      <c r="A42" s="7" t="n"/>
      <c r="B42" s="7" t="n"/>
      <c r="C42" s="8" t="n"/>
      <c r="D42" s="8" t="n"/>
      <c r="E42" s="7" t="n"/>
      <c r="F42" s="7" t="n"/>
      <c r="G42" s="9" t="n"/>
      <c r="H42" s="7" t="n"/>
      <c r="I42" s="7" t="n"/>
      <c r="J42" s="10">
        <f>IF($H42="S",$G42*$I42,0)</f>
        <v/>
      </c>
      <c r="K42" s="11">
        <f>IF(OR($H42="",$H42="Omit"),0,IF($H42="S",$G42*$I42-$G42,-$G42))</f>
        <v/>
      </c>
      <c r="L42" s="10">
        <f>$L41+$K42</f>
        <v/>
      </c>
    </row>
    <row r="43">
      <c r="A43" s="7" t="n"/>
      <c r="B43" s="7" t="n"/>
      <c r="C43" s="8" t="n"/>
      <c r="D43" s="8" t="n"/>
      <c r="E43" s="7" t="n"/>
      <c r="F43" s="7" t="n"/>
      <c r="G43" s="9" t="n"/>
      <c r="H43" s="7" t="n"/>
      <c r="I43" s="7" t="n"/>
      <c r="J43" s="10">
        <f>IF($H43="S",$G43*$I43,0)</f>
        <v/>
      </c>
      <c r="K43" s="11">
        <f>IF(OR($H43="",$H43="Omit"),0,IF($H43="S",$G43*$I43-$G43,-$G43))</f>
        <v/>
      </c>
      <c r="L43" s="10">
        <f>$L42+$K43</f>
        <v/>
      </c>
    </row>
    <row r="44">
      <c r="A44" s="7" t="n"/>
      <c r="B44" s="7" t="n"/>
      <c r="C44" s="8" t="n"/>
      <c r="D44" s="8" t="n"/>
      <c r="E44" s="7" t="n"/>
      <c r="F44" s="7" t="n"/>
      <c r="G44" s="9" t="n"/>
      <c r="H44" s="7" t="n"/>
      <c r="I44" s="7" t="n"/>
      <c r="J44" s="10">
        <f>IF($H44="S",$G44*$I44,0)</f>
        <v/>
      </c>
      <c r="K44" s="11">
        <f>IF(OR($H44="",$H44="Omit"),0,IF($H44="S",$G44*$I44-$G44,-$G44))</f>
        <v/>
      </c>
      <c r="L44" s="10">
        <f>$L43+$K44</f>
        <v/>
      </c>
    </row>
    <row r="45">
      <c r="A45" s="7" t="n"/>
      <c r="B45" s="7" t="n"/>
      <c r="C45" s="8" t="n"/>
      <c r="D45" s="8" t="n"/>
      <c r="E45" s="7" t="n"/>
      <c r="F45" s="7" t="n"/>
      <c r="G45" s="9" t="n"/>
      <c r="H45" s="7" t="n"/>
      <c r="I45" s="7" t="n"/>
      <c r="J45" s="10">
        <f>IF($H45="S",$G45*$I45,0)</f>
        <v/>
      </c>
      <c r="K45" s="11">
        <f>IF(OR($H45="",$H45="Omit"),0,IF($H45="S",$G45*$I45-$G45,-$G45))</f>
        <v/>
      </c>
      <c r="L45" s="10">
        <f>$L44+$K45</f>
        <v/>
      </c>
    </row>
    <row r="46">
      <c r="A46" s="7" t="n"/>
      <c r="B46" s="7" t="n"/>
      <c r="C46" s="8" t="n"/>
      <c r="D46" s="8" t="n"/>
      <c r="E46" s="7" t="n"/>
      <c r="F46" s="7" t="n"/>
      <c r="G46" s="9" t="n"/>
      <c r="H46" s="7" t="n"/>
      <c r="I46" s="7" t="n"/>
      <c r="J46" s="10">
        <f>IF($H46="S",$G46*$I46,0)</f>
        <v/>
      </c>
      <c r="K46" s="11">
        <f>IF(OR($H46="",$H46="Omit"),0,IF($H46="S",$G46*$I46-$G46,-$G46))</f>
        <v/>
      </c>
      <c r="L46" s="10">
        <f>$L45+$K46</f>
        <v/>
      </c>
    </row>
    <row r="47">
      <c r="A47" s="7" t="n"/>
      <c r="B47" s="7" t="n"/>
      <c r="C47" s="8" t="n"/>
      <c r="D47" s="8" t="n"/>
      <c r="E47" s="7" t="n"/>
      <c r="F47" s="7" t="n"/>
      <c r="G47" s="9" t="n"/>
      <c r="H47" s="7" t="n"/>
      <c r="I47" s="7" t="n"/>
      <c r="J47" s="10">
        <f>IF($H47="S",$G47*$I47,0)</f>
        <v/>
      </c>
      <c r="K47" s="11">
        <f>IF(OR($H47="",$H47="Omit"),0,IF($H47="S",$G47*$I47-$G47,-$G47))</f>
        <v/>
      </c>
      <c r="L47" s="10">
        <f>$L46+$K47</f>
        <v/>
      </c>
    </row>
    <row r="48">
      <c r="A48" s="7" t="n"/>
      <c r="B48" s="7" t="n"/>
      <c r="C48" s="8" t="n"/>
      <c r="D48" s="8" t="n"/>
      <c r="E48" s="7" t="n"/>
      <c r="F48" s="7" t="n"/>
      <c r="G48" s="9" t="n"/>
      <c r="H48" s="7" t="n"/>
      <c r="I48" s="7" t="n"/>
      <c r="J48" s="10">
        <f>IF($H48="S",$G48*$I48,0)</f>
        <v/>
      </c>
      <c r="K48" s="11">
        <f>IF(OR($H48="",$H48="Omit"),0,IF($H48="S",$G48*$I48-$G48,-$G48))</f>
        <v/>
      </c>
      <c r="L48" s="10">
        <f>$L47+$K48</f>
        <v/>
      </c>
    </row>
    <row r="49">
      <c r="A49" s="7" t="n"/>
      <c r="B49" s="7" t="n"/>
      <c r="C49" s="8" t="n"/>
      <c r="D49" s="8" t="n"/>
      <c r="E49" s="7" t="n"/>
      <c r="F49" s="7" t="n"/>
      <c r="G49" s="9" t="n"/>
      <c r="H49" s="7" t="n"/>
      <c r="I49" s="7" t="n"/>
      <c r="J49" s="10">
        <f>IF($H49="S",$G49*$I49,0)</f>
        <v/>
      </c>
      <c r="K49" s="11">
        <f>IF(OR($H49="",$H49="Omit"),0,IF($H49="S",$G49*$I49-$G49,-$G49))</f>
        <v/>
      </c>
      <c r="L49" s="10">
        <f>$L48+$K49</f>
        <v/>
      </c>
    </row>
    <row r="50">
      <c r="A50" s="7" t="n"/>
      <c r="B50" s="7" t="n"/>
      <c r="C50" s="8" t="n"/>
      <c r="D50" s="8" t="n"/>
      <c r="E50" s="7" t="n"/>
      <c r="F50" s="7" t="n"/>
      <c r="G50" s="9" t="n"/>
      <c r="H50" s="7" t="n"/>
      <c r="I50" s="7" t="n"/>
      <c r="J50" s="10">
        <f>IF($H50="S",$G50*$I50,0)</f>
        <v/>
      </c>
      <c r="K50" s="11">
        <f>IF(OR($H50="",$H50="Omit"),0,IF($H50="S",$G50*$I50-$G50,-$G50))</f>
        <v/>
      </c>
      <c r="L50" s="10">
        <f>$L49+$K50</f>
        <v/>
      </c>
    </row>
    <row r="51">
      <c r="A51" s="7" t="n"/>
      <c r="B51" s="7" t="n"/>
      <c r="C51" s="8" t="n"/>
      <c r="D51" s="8" t="n"/>
      <c r="E51" s="7" t="n"/>
      <c r="F51" s="7" t="n"/>
      <c r="G51" s="9" t="n"/>
      <c r="H51" s="7" t="n"/>
      <c r="I51" s="7" t="n"/>
      <c r="J51" s="10">
        <f>IF($H51="S",$G51*$I51,0)</f>
        <v/>
      </c>
      <c r="K51" s="11">
        <f>IF(OR($H51="",$H51="Omit"),0,IF($H51="S",$G51*$I51-$G51,-$G51))</f>
        <v/>
      </c>
      <c r="L51" s="10">
        <f>$L50+$K51</f>
        <v/>
      </c>
    </row>
    <row r="52">
      <c r="A52" s="7" t="n"/>
      <c r="B52" s="7" t="n"/>
      <c r="C52" s="8" t="n"/>
      <c r="D52" s="8" t="n"/>
      <c r="E52" s="7" t="n"/>
      <c r="F52" s="7" t="n"/>
      <c r="G52" s="9" t="n"/>
      <c r="H52" s="7" t="n"/>
      <c r="I52" s="7" t="n"/>
      <c r="J52" s="10">
        <f>IF($H52="S",$G52*$I52,0)</f>
        <v/>
      </c>
      <c r="K52" s="11">
        <f>IF(OR($H52="",$H52="Omit"),0,IF($H52="S",$G52*$I52-$G52,-$G52))</f>
        <v/>
      </c>
      <c r="L52" s="10">
        <f>$L51+$K52</f>
        <v/>
      </c>
    </row>
    <row r="53">
      <c r="A53" s="7" t="n"/>
      <c r="B53" s="7" t="n"/>
      <c r="C53" s="8" t="n"/>
      <c r="D53" s="8" t="n"/>
      <c r="E53" s="7" t="n"/>
      <c r="F53" s="7" t="n"/>
      <c r="G53" s="9" t="n"/>
      <c r="H53" s="7" t="n"/>
      <c r="I53" s="7" t="n"/>
      <c r="J53" s="10">
        <f>IF($H53="S",$G53*$I53,0)</f>
        <v/>
      </c>
      <c r="K53" s="11">
        <f>IF(OR($H53="",$H53="Omit"),0,IF($H53="S",$G53*$I53-$G53,-$G53))</f>
        <v/>
      </c>
      <c r="L53" s="10">
        <f>$L52+$K53</f>
        <v/>
      </c>
    </row>
    <row r="54">
      <c r="A54" s="7" t="n"/>
      <c r="B54" s="7" t="n"/>
      <c r="C54" s="8" t="n"/>
      <c r="D54" s="8" t="n"/>
      <c r="E54" s="7" t="n"/>
      <c r="F54" s="7" t="n"/>
      <c r="G54" s="9" t="n"/>
      <c r="H54" s="7" t="n"/>
      <c r="I54" s="7" t="n"/>
      <c r="J54" s="10">
        <f>IF($H54="S",$G54*$I54,0)</f>
        <v/>
      </c>
      <c r="K54" s="11">
        <f>IF(OR($H54="",$H54="Omit"),0,IF($H54="S",$G54*$I54-$G54,-$G54))</f>
        <v/>
      </c>
      <c r="L54" s="10">
        <f>$L53+$K54</f>
        <v/>
      </c>
    </row>
    <row r="55">
      <c r="A55" s="7" t="n"/>
      <c r="B55" s="7" t="n"/>
      <c r="C55" s="8" t="n"/>
      <c r="D55" s="8" t="n"/>
      <c r="E55" s="7" t="n"/>
      <c r="F55" s="7" t="n"/>
      <c r="G55" s="9" t="n"/>
      <c r="H55" s="7" t="n"/>
      <c r="I55" s="7" t="n"/>
      <c r="J55" s="10">
        <f>IF($H55="S",$G55*$I55,0)</f>
        <v/>
      </c>
      <c r="K55" s="11">
        <f>IF(OR($H55="",$H55="Omit"),0,IF($H55="S",$G55*$I55-$G55,-$G55))</f>
        <v/>
      </c>
      <c r="L55" s="10">
        <f>$L54+$K55</f>
        <v/>
      </c>
    </row>
    <row r="56">
      <c r="A56" s="7" t="n"/>
      <c r="B56" s="7" t="n"/>
      <c r="C56" s="8" t="n"/>
      <c r="D56" s="8" t="n"/>
      <c r="E56" s="7" t="n"/>
      <c r="F56" s="7" t="n"/>
      <c r="G56" s="9" t="n"/>
      <c r="H56" s="7" t="n"/>
      <c r="I56" s="7" t="n"/>
      <c r="J56" s="10">
        <f>IF($H56="S",$G56*$I56,0)</f>
        <v/>
      </c>
      <c r="K56" s="11">
        <f>IF(OR($H56="",$H56="Omit"),0,IF($H56="S",$G56*$I56-$G56,-$G56))</f>
        <v/>
      </c>
      <c r="L56" s="10">
        <f>$L55+$K56</f>
        <v/>
      </c>
    </row>
    <row r="57">
      <c r="A57" s="7" t="n"/>
      <c r="B57" s="7" t="n"/>
      <c r="C57" s="8" t="n"/>
      <c r="D57" s="8" t="n"/>
      <c r="E57" s="7" t="n"/>
      <c r="F57" s="7" t="n"/>
      <c r="G57" s="9" t="n"/>
      <c r="H57" s="7" t="n"/>
      <c r="I57" s="7" t="n"/>
      <c r="J57" s="10">
        <f>IF($H57="S",$G57*$I57,0)</f>
        <v/>
      </c>
      <c r="K57" s="11">
        <f>IF(OR($H57="",$H57="Omit"),0,IF($H57="S",$G57*$I57-$G57,-$G57))</f>
        <v/>
      </c>
      <c r="L57" s="10">
        <f>$L56+$K57</f>
        <v/>
      </c>
    </row>
    <row r="58">
      <c r="A58" s="7" t="n"/>
      <c r="B58" s="7" t="n"/>
      <c r="C58" s="8" t="n"/>
      <c r="D58" s="8" t="n"/>
      <c r="E58" s="7" t="n"/>
      <c r="F58" s="7" t="n"/>
      <c r="G58" s="9" t="n"/>
      <c r="H58" s="7" t="n"/>
      <c r="I58" s="7" t="n"/>
      <c r="J58" s="10">
        <f>IF($H58="S",$G58*$I58,0)</f>
        <v/>
      </c>
      <c r="K58" s="11">
        <f>IF(OR($H58="",$H58="Omit"),0,IF($H58="S",$G58*$I58-$G58,-$G58))</f>
        <v/>
      </c>
      <c r="L58" s="10">
        <f>$L57+$K58</f>
        <v/>
      </c>
    </row>
    <row r="59">
      <c r="A59" s="7" t="n"/>
      <c r="B59" s="7" t="n"/>
      <c r="C59" s="8" t="n"/>
      <c r="D59" s="8" t="n"/>
      <c r="E59" s="7" t="n"/>
      <c r="F59" s="7" t="n"/>
      <c r="G59" s="9" t="n"/>
      <c r="H59" s="7" t="n"/>
      <c r="I59" s="7" t="n"/>
      <c r="J59" s="10">
        <f>IF($H59="S",$G59*$I59,0)</f>
        <v/>
      </c>
      <c r="K59" s="11">
        <f>IF(OR($H59="",$H59="Omit"),0,IF($H59="S",$G59*$I59-$G59,-$G59))</f>
        <v/>
      </c>
      <c r="L59" s="10">
        <f>$L58+$K59</f>
        <v/>
      </c>
    </row>
    <row r="60">
      <c r="A60" s="7" t="n"/>
      <c r="B60" s="7" t="n"/>
      <c r="C60" s="8" t="n"/>
      <c r="D60" s="8" t="n"/>
      <c r="E60" s="7" t="n"/>
      <c r="F60" s="7" t="n"/>
      <c r="G60" s="9" t="n"/>
      <c r="H60" s="7" t="n"/>
      <c r="I60" s="7" t="n"/>
      <c r="J60" s="10">
        <f>IF($H60="S",$G60*$I60,0)</f>
        <v/>
      </c>
      <c r="K60" s="11">
        <f>IF(OR($H60="",$H60="Omit"),0,IF($H60="S",$G60*$I60-$G60,-$G60))</f>
        <v/>
      </c>
      <c r="L60" s="10">
        <f>$L59+$K60</f>
        <v/>
      </c>
    </row>
    <row r="61">
      <c r="A61" s="7" t="n"/>
      <c r="B61" s="7" t="n"/>
      <c r="C61" s="8" t="n"/>
      <c r="D61" s="8" t="n"/>
      <c r="E61" s="7" t="n"/>
      <c r="F61" s="7" t="n"/>
      <c r="G61" s="9" t="n"/>
      <c r="H61" s="7" t="n"/>
      <c r="I61" s="7" t="n"/>
      <c r="J61" s="10">
        <f>IF($H61="S",$G61*$I61,0)</f>
        <v/>
      </c>
      <c r="K61" s="11">
        <f>IF(OR($H61="",$H61="Omit"),0,IF($H61="S",$G61*$I61-$G61,-$G61))</f>
        <v/>
      </c>
      <c r="L61" s="10">
        <f>$L60+$K61</f>
        <v/>
      </c>
    </row>
    <row r="62">
      <c r="A62" s="7" t="n"/>
      <c r="B62" s="7" t="n"/>
      <c r="C62" s="8" t="n"/>
      <c r="D62" s="8" t="n"/>
      <c r="E62" s="7" t="n"/>
      <c r="F62" s="7" t="n"/>
      <c r="G62" s="9" t="n"/>
      <c r="H62" s="7" t="n"/>
      <c r="I62" s="7" t="n"/>
      <c r="J62" s="10">
        <f>IF($H62="S",$G62*$I62,0)</f>
        <v/>
      </c>
      <c r="K62" s="11">
        <f>IF(OR($H62="",$H62="Omit"),0,IF($H62="S",$G62*$I62-$G62,-$G62))</f>
        <v/>
      </c>
      <c r="L62" s="10">
        <f>$L61+$K62</f>
        <v/>
      </c>
    </row>
    <row r="63">
      <c r="A63" s="7" t="n"/>
      <c r="B63" s="7" t="n"/>
      <c r="C63" s="8" t="n"/>
      <c r="D63" s="8" t="n"/>
      <c r="E63" s="7" t="n"/>
      <c r="F63" s="7" t="n"/>
      <c r="G63" s="9" t="n"/>
      <c r="H63" s="7" t="n"/>
      <c r="I63" s="7" t="n"/>
      <c r="J63" s="10">
        <f>IF($H63="S",$G63*$I63,0)</f>
        <v/>
      </c>
      <c r="K63" s="11">
        <f>IF(OR($H63="",$H63="Omit"),0,IF($H63="S",$G63*$I63-$G63,-$G63))</f>
        <v/>
      </c>
      <c r="L63" s="10">
        <f>$L62+$K63</f>
        <v/>
      </c>
    </row>
    <row r="64">
      <c r="A64" s="7" t="n"/>
      <c r="B64" s="7" t="n"/>
      <c r="C64" s="8" t="n"/>
      <c r="D64" s="8" t="n"/>
      <c r="E64" s="7" t="n"/>
      <c r="F64" s="7" t="n"/>
      <c r="G64" s="9" t="n"/>
      <c r="H64" s="7" t="n"/>
      <c r="I64" s="7" t="n"/>
      <c r="J64" s="10">
        <f>IF($H64="S",$G64*$I64,0)</f>
        <v/>
      </c>
      <c r="K64" s="11">
        <f>IF(OR($H64="",$H64="Omit"),0,IF($H64="S",$G64*$I64-$G64,-$G64))</f>
        <v/>
      </c>
      <c r="L64" s="10">
        <f>$L63+$K64</f>
        <v/>
      </c>
    </row>
    <row r="65">
      <c r="A65" s="7" t="n"/>
      <c r="B65" s="7" t="n"/>
      <c r="C65" s="8" t="n"/>
      <c r="D65" s="8" t="n"/>
      <c r="E65" s="7" t="n"/>
      <c r="F65" s="7" t="n"/>
      <c r="G65" s="9" t="n"/>
      <c r="H65" s="7" t="n"/>
      <c r="I65" s="7" t="n"/>
      <c r="J65" s="10">
        <f>IF($H65="S",$G65*$I65,0)</f>
        <v/>
      </c>
      <c r="K65" s="11">
        <f>IF(OR($H65="",$H65="Omit"),0,IF($H65="S",$G65*$I65-$G65,-$G65))</f>
        <v/>
      </c>
      <c r="L65" s="10">
        <f>$L64+$K65</f>
        <v/>
      </c>
    </row>
    <row r="66">
      <c r="A66" s="7" t="n"/>
      <c r="B66" s="7" t="n"/>
      <c r="C66" s="8" t="n"/>
      <c r="D66" s="8" t="n"/>
      <c r="E66" s="7" t="n"/>
      <c r="F66" s="7" t="n"/>
      <c r="G66" s="9" t="n"/>
      <c r="H66" s="7" t="n"/>
      <c r="I66" s="7" t="n"/>
      <c r="J66" s="10">
        <f>IF($H66="S",$G66*$I66,0)</f>
        <v/>
      </c>
      <c r="K66" s="11">
        <f>IF(OR($H66="",$H66="Omit"),0,IF($H66="S",$G66*$I66-$G66,-$G66))</f>
        <v/>
      </c>
      <c r="L66" s="10">
        <f>$L65+$K66</f>
        <v/>
      </c>
    </row>
    <row r="67">
      <c r="A67" s="7" t="n"/>
      <c r="B67" s="7" t="n"/>
      <c r="C67" s="8" t="n"/>
      <c r="D67" s="8" t="n"/>
      <c r="E67" s="7" t="n"/>
      <c r="F67" s="7" t="n"/>
      <c r="G67" s="9" t="n"/>
      <c r="H67" s="7" t="n"/>
      <c r="I67" s="7" t="n"/>
      <c r="J67" s="10">
        <f>IF($H67="S",$G67*$I67,0)</f>
        <v/>
      </c>
      <c r="K67" s="11">
        <f>IF(OR($H67="",$H67="Omit"),0,IF($H67="S",$G67*$I67-$G67,-$G67))</f>
        <v/>
      </c>
      <c r="L67" s="10">
        <f>$L66+$K67</f>
        <v/>
      </c>
    </row>
    <row r="68">
      <c r="A68" s="7" t="n"/>
      <c r="B68" s="7" t="n"/>
      <c r="C68" s="8" t="n"/>
      <c r="D68" s="8" t="n"/>
      <c r="E68" s="7" t="n"/>
      <c r="F68" s="7" t="n"/>
      <c r="G68" s="9" t="n"/>
      <c r="H68" s="7" t="n"/>
      <c r="I68" s="7" t="n"/>
      <c r="J68" s="10">
        <f>IF($H68="S",$G68*$I68,0)</f>
        <v/>
      </c>
      <c r="K68" s="11">
        <f>IF(OR($H68="",$H68="Omit"),0,IF($H68="S",$G68*$I68-$G68,-$G68))</f>
        <v/>
      </c>
      <c r="L68" s="10">
        <f>$L67+$K68</f>
        <v/>
      </c>
    </row>
    <row r="69">
      <c r="A69" s="7" t="n"/>
      <c r="B69" s="7" t="n"/>
      <c r="C69" s="8" t="n"/>
      <c r="D69" s="8" t="n"/>
      <c r="E69" s="7" t="n"/>
      <c r="F69" s="7" t="n"/>
      <c r="G69" s="9" t="n"/>
      <c r="H69" s="7" t="n"/>
      <c r="I69" s="7" t="n"/>
      <c r="J69" s="10">
        <f>IF($H69="S",$G69*$I69,0)</f>
        <v/>
      </c>
      <c r="K69" s="11">
        <f>IF(OR($H69="",$H69="Omit"),0,IF($H69="S",$G69*$I69-$G69,-$G69))</f>
        <v/>
      </c>
      <c r="L69" s="10">
        <f>$L68+$K69</f>
        <v/>
      </c>
    </row>
    <row r="70">
      <c r="A70" s="7" t="n"/>
      <c r="B70" s="7" t="n"/>
      <c r="C70" s="8" t="n"/>
      <c r="D70" s="8" t="n"/>
      <c r="E70" s="7" t="n"/>
      <c r="F70" s="7" t="n"/>
      <c r="G70" s="9" t="n"/>
      <c r="H70" s="7" t="n"/>
      <c r="I70" s="7" t="n"/>
      <c r="J70" s="10">
        <f>IF($H70="S",$G70*$I70,0)</f>
        <v/>
      </c>
      <c r="K70" s="11">
        <f>IF(OR($H70="",$H70="Omit"),0,IF($H70="S",$G70*$I70-$G70,-$G70))</f>
        <v/>
      </c>
      <c r="L70" s="10">
        <f>$L69+$K70</f>
        <v/>
      </c>
    </row>
  </sheetData>
  <mergeCells count="2">
    <mergeCell ref="A3:L3"/>
    <mergeCell ref="A1:L1"/>
  </mergeCells>
  <dataValidations count="1">
    <dataValidation sqref="H6:H70" showDropDown="0" showInputMessage="0" showErrorMessage="0" allowBlank="1" type="list">
      <formula1>"S,N,Omit"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6" customWidth="1" min="3" max="3"/>
    <col width="22" customWidth="1" min="4" max="4"/>
    <col width="16" customWidth="1" min="5" max="5"/>
    <col width="24" customWidth="1" min="6" max="6"/>
  </cols>
  <sheetData>
    <row r="1" ht="24" customHeight="1">
      <c r="A1" s="1" t="inlineStr">
        <is>
          <t>Resumen por equipo</t>
        </is>
      </c>
    </row>
    <row r="3" ht="42" customHeight="1">
      <c r="A3" s="5" t="inlineStr">
        <is>
          <t>Equipo</t>
        </is>
      </c>
      <c r="B3" s="5" t="inlineStr">
        <is>
          <t>Utilidad histórica (hasta J7)</t>
        </is>
      </c>
      <c r="C3" s="5" t="inlineStr">
        <is>
          <t>Empates nuevos (este tracker)</t>
        </is>
      </c>
      <c r="D3" s="5" t="inlineStr">
        <is>
          <t>Neto nuevo (este tracker)</t>
        </is>
      </c>
      <c r="E3" s="5" t="inlineStr">
        <is>
          <t>Utilidad total</t>
        </is>
      </c>
      <c r="F3" s="5" t="inlineStr">
        <is>
          <t>Empates 2 torneos previos</t>
        </is>
      </c>
    </row>
    <row r="4">
      <c r="A4" s="8" t="inlineStr">
        <is>
          <t>Real Betis</t>
        </is>
      </c>
      <c r="B4" s="9" t="n">
        <v>5220</v>
      </c>
      <c r="C4" s="7">
        <f>COUNTIFS(Seguimiento!$C:$C,$A4,Seguimiento!$H:$H,"S")</f>
        <v/>
      </c>
      <c r="D4" s="12">
        <f>SUMIFS(Seguimiento!$K:$K,Seguimiento!$C:$C,$A4)</f>
        <v/>
      </c>
      <c r="E4" s="12">
        <f>$B4+$D4</f>
        <v/>
      </c>
      <c r="F4" s="7" t="inlineStr">
        <is>
          <t>12 / 15</t>
        </is>
      </c>
    </row>
    <row r="5">
      <c r="A5" s="8" t="inlineStr">
        <is>
          <t>Rayo</t>
        </is>
      </c>
      <c r="B5" s="9" t="n">
        <v>840</v>
      </c>
      <c r="C5" s="7">
        <f>COUNTIFS(Seguimiento!$C:$C,$A5,Seguimiento!$H:$H,"S")</f>
        <v/>
      </c>
      <c r="D5" s="12">
        <f>SUMIFS(Seguimiento!$K:$K,Seguimiento!$C:$C,$A5)</f>
        <v/>
      </c>
      <c r="E5" s="12">
        <f>$B5+$D5</f>
        <v/>
      </c>
      <c r="F5" s="7" t="inlineStr">
        <is>
          <t>13 / 14</t>
        </is>
      </c>
    </row>
    <row r="6">
      <c r="A6" s="8" t="inlineStr">
        <is>
          <t>Alavés</t>
        </is>
      </c>
      <c r="B6" s="9" t="n">
        <v>3190</v>
      </c>
      <c r="C6" s="7">
        <f>COUNTIFS(Seguimiento!$C:$C,$A6,Seguimiento!$H:$H,"S")</f>
        <v/>
      </c>
      <c r="D6" s="12">
        <f>SUMIFS(Seguimiento!$K:$K,Seguimiento!$C:$C,$A6)</f>
        <v/>
      </c>
      <c r="E6" s="12">
        <f>$B6+$D6</f>
        <v/>
      </c>
      <c r="F6" s="7" t="inlineStr">
        <is>
          <t>12 / 10</t>
        </is>
      </c>
    </row>
    <row r="7">
      <c r="A7" s="8" t="inlineStr">
        <is>
          <t>R. Sociedad</t>
        </is>
      </c>
      <c r="B7" s="9" t="n">
        <v>20</v>
      </c>
      <c r="C7" s="7">
        <f>COUNTIFS(Seguimiento!$C:$C,$A7,Seguimiento!$H:$H,"S")</f>
        <v/>
      </c>
      <c r="D7" s="12">
        <f>SUMIFS(Seguimiento!$K:$K,Seguimiento!$C:$C,$A7)</f>
        <v/>
      </c>
      <c r="E7" s="12">
        <f>$B7+$D7</f>
        <v/>
      </c>
      <c r="F7" s="7" t="inlineStr">
        <is>
          <t>7 / 13</t>
        </is>
      </c>
    </row>
    <row r="8">
      <c r="A8" s="8" t="inlineStr">
        <is>
          <t>Sevilla</t>
        </is>
      </c>
      <c r="B8" s="9" t="n">
        <v>780</v>
      </c>
      <c r="C8" s="7">
        <f>COUNTIFS(Seguimiento!$C:$C,$A8,Seguimiento!$H:$H,"S")</f>
        <v/>
      </c>
      <c r="D8" s="12">
        <f>SUMIFS(Seguimiento!$K:$K,Seguimiento!$C:$C,$A8)</f>
        <v/>
      </c>
      <c r="E8" s="12">
        <f>$B8+$D8</f>
        <v/>
      </c>
      <c r="F8" s="7" t="inlineStr">
        <is>
          <t>11 / 7</t>
        </is>
      </c>
    </row>
    <row r="9">
      <c r="A9" s="13" t="inlineStr">
        <is>
          <t>TOTAL</t>
        </is>
      </c>
      <c r="B9" s="14">
        <f>SUM(B4:B8)</f>
        <v/>
      </c>
      <c r="C9" s="15">
        <f>SUM(C4:C8)</f>
        <v/>
      </c>
      <c r="D9" s="14">
        <f>SUM(D4:D8)</f>
        <v/>
      </c>
      <c r="E9" s="14">
        <f>SUM(E4:E8)</f>
        <v/>
      </c>
      <c r="F9" s="16" t="n"/>
    </row>
    <row r="11">
      <c r="A11" s="4" t="inlineStr">
        <is>
          <t>La utilidad histórica (+$10,050 total) ya está dentro del saldo inicial de $20,050 en la hoja Seguimiento. Aquí sirve de referencia por equipo.</t>
        </is>
      </c>
    </row>
  </sheetData>
  <mergeCells count="2"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</cols>
  <sheetData>
    <row r="1" ht="24" customHeight="1">
      <c r="A1" s="1" t="inlineStr">
        <is>
          <t>Neto y saldo por jornada</t>
        </is>
      </c>
    </row>
    <row r="3">
      <c r="A3" s="5" t="inlineStr">
        <is>
          <t>Jornada</t>
        </is>
      </c>
      <c r="B3" s="5" t="inlineStr">
        <is>
          <t>Neto de la jornada</t>
        </is>
      </c>
      <c r="C3" s="5" t="inlineStr">
        <is>
          <t>Empates de la jornada</t>
        </is>
      </c>
    </row>
    <row r="4">
      <c r="A4" s="7" t="inlineStr">
        <is>
          <t>J8</t>
        </is>
      </c>
      <c r="B4" s="12">
        <f>SUMIFS(Seguimiento!$K:$K,Seguimiento!$B:$B,$A4)</f>
        <v/>
      </c>
      <c r="C4" s="7">
        <f>COUNTIFS(Seguimiento!$B:$B,$A4,Seguimiento!$H:$H,"S")</f>
        <v/>
      </c>
    </row>
    <row r="5">
      <c r="A5" s="7" t="inlineStr">
        <is>
          <t>J9</t>
        </is>
      </c>
      <c r="B5" s="12">
        <f>SUMIFS(Seguimiento!$K:$K,Seguimiento!$B:$B,$A5)</f>
        <v/>
      </c>
      <c r="C5" s="7">
        <f>COUNTIFS(Seguimiento!$B:$B,$A5,Seguimiento!$H:$H,"S")</f>
        <v/>
      </c>
    </row>
    <row r="6">
      <c r="A6" s="7" t="inlineStr">
        <is>
          <t>J10</t>
        </is>
      </c>
      <c r="B6" s="12">
        <f>SUMIFS(Seguimiento!$K:$K,Seguimiento!$B:$B,$A6)</f>
        <v/>
      </c>
      <c r="C6" s="7">
        <f>COUNTIFS(Seguimiento!$B:$B,$A6,Seguimiento!$H:$H,"S")</f>
        <v/>
      </c>
    </row>
    <row r="7">
      <c r="A7" s="7" t="inlineStr">
        <is>
          <t>J11</t>
        </is>
      </c>
      <c r="B7" s="12">
        <f>SUMIFS(Seguimiento!$K:$K,Seguimiento!$B:$B,$A7)</f>
        <v/>
      </c>
      <c r="C7" s="7">
        <f>COUNTIFS(Seguimiento!$B:$B,$A7,Seguimiento!$H:$H,"S")</f>
        <v/>
      </c>
    </row>
    <row r="8">
      <c r="A8" s="7" t="inlineStr">
        <is>
          <t>J12</t>
        </is>
      </c>
      <c r="B8" s="12">
        <f>SUMIFS(Seguimiento!$K:$K,Seguimiento!$B:$B,$A8)</f>
        <v/>
      </c>
      <c r="C8" s="7">
        <f>COUNTIFS(Seguimiento!$B:$B,$A8,Seguimiento!$H:$H,"S")</f>
        <v/>
      </c>
    </row>
    <row r="9">
      <c r="A9" s="7" t="inlineStr">
        <is>
          <t>J13</t>
        </is>
      </c>
      <c r="B9" s="12">
        <f>SUMIFS(Seguimiento!$K:$K,Seguimiento!$B:$B,$A9)</f>
        <v/>
      </c>
      <c r="C9" s="7">
        <f>COUNTIFS(Seguimiento!$B:$B,$A9,Seguimiento!$H:$H,"S")</f>
        <v/>
      </c>
    </row>
    <row r="10">
      <c r="A10" s="7" t="inlineStr">
        <is>
          <t>J14</t>
        </is>
      </c>
      <c r="B10" s="12">
        <f>SUMIFS(Seguimiento!$K:$K,Seguimiento!$B:$B,$A10)</f>
        <v/>
      </c>
      <c r="C10" s="7">
        <f>COUNTIFS(Seguimiento!$B:$B,$A10,Seguimiento!$H:$H,"S")</f>
        <v/>
      </c>
    </row>
    <row r="11">
      <c r="A11" s="7" t="inlineStr">
        <is>
          <t>J15</t>
        </is>
      </c>
      <c r="B11" s="12">
        <f>SUMIFS(Seguimiento!$K:$K,Seguimiento!$B:$B,$A11)</f>
        <v/>
      </c>
      <c r="C11" s="7">
        <f>COUNTIFS(Seguimiento!$B:$B,$A11,Seguimiento!$H:$H,"S")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2026-09-21T01:55:19Z</dcterms:created>
  <dcterms:modified xmlns:dcterms="http://purl.org/dc/terms/" xmlns:xsi="http://www.w3.org/2001/XMLSchema-instance" xsi:type="dcterms:W3CDTF">2026-09-21T01:55:19Z</dcterms:modified>
</cp:coreProperties>
</file>